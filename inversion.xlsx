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dora" sheetId="1" state="visible" r:id="rId3"/>
    <sheet name="Cartera" sheetId="2" state="visible" r:id="rId4"/>
    <sheet name="Guí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<sst xmlns="http://schemas.openxmlformats.org/spreadsheetml/2006/main" count="62" uniqueCount="54">
  <si>
    <t xml:space="preserve">Calculadora de inversión  ·  interés compuesto + aportes</t>
  </si>
  <si>
    <t xml:space="preserve">DATOS (edita las celdas amarillas)</t>
  </si>
  <si>
    <t xml:space="preserve">Moneda</t>
  </si>
  <si>
    <t xml:space="preserve">$</t>
  </si>
  <si>
    <t xml:space="preserve">Capital inicial</t>
  </si>
  <si>
    <t xml:space="preserve">Aporte mensual</t>
  </si>
  <si>
    <t xml:space="preserve">Tasa de interés anual estimada</t>
  </si>
  <si>
    <t xml:space="preserve">Años de inversión</t>
  </si>
  <si>
    <t xml:space="preserve">Tasa mensual (calculada)</t>
  </si>
  <si>
    <t xml:space="preserve">RESULTADO</t>
  </si>
  <si>
    <t xml:space="preserve">Total aportado</t>
  </si>
  <si>
    <t xml:space="preserve">Saldo final estimado</t>
  </si>
  <si>
    <t xml:space="preserve">Intereses ganados</t>
  </si>
  <si>
    <t xml:space="preserve">PROYECCIÓN AÑO A AÑO (interés compuesto mensual)</t>
  </si>
  <si>
    <t xml:space="preserve">Año</t>
  </si>
  <si>
    <t xml:space="preserve">Saldo inicial</t>
  </si>
  <si>
    <t xml:space="preserve">Aportes del año</t>
  </si>
  <si>
    <t xml:space="preserve">Intereses del año</t>
  </si>
  <si>
    <t xml:space="preserve">Saldo final</t>
  </si>
  <si>
    <t xml:space="preserve">Total aportado acum.</t>
  </si>
  <si>
    <t xml:space="preserve">Rastreador de cartera</t>
  </si>
  <si>
    <t xml:space="preserve">Edita en AZUL: Activo, Tipo, Cantidad, Precio de compra y Precio actual. El resto se calcula solo. Actualiza 'Precio actual' periódicamente.</t>
  </si>
  <si>
    <t xml:space="preserve">Activo / Ticker</t>
  </si>
  <si>
    <t xml:space="preserve">Tipo</t>
  </si>
  <si>
    <t xml:space="preserve">Cantidad</t>
  </si>
  <si>
    <t xml:space="preserve">Precio compra</t>
  </si>
  <si>
    <t xml:space="preserve">Precio actual</t>
  </si>
  <si>
    <t xml:space="preserve">Inversión</t>
  </si>
  <si>
    <t xml:space="preserve">Valor actual</t>
  </si>
  <si>
    <t xml:space="preserve">Ganancia/Pérdida</t>
  </si>
  <si>
    <t xml:space="preserve">Rendimiento %</t>
  </si>
  <si>
    <t xml:space="preserve">% de cartera</t>
  </si>
  <si>
    <t xml:space="preserve">AAPL</t>
  </si>
  <si>
    <t xml:space="preserve">Acción</t>
  </si>
  <si>
    <t xml:space="preserve">VOO</t>
  </si>
  <si>
    <t xml:space="preserve">ETF</t>
  </si>
  <si>
    <t xml:space="preserve">BTC</t>
  </si>
  <si>
    <t xml:space="preserve">Cripto</t>
  </si>
  <si>
    <t xml:space="preserve">Bono Tesoro</t>
  </si>
  <si>
    <t xml:space="preserve">Bono</t>
  </si>
  <si>
    <t xml:space="preserve">TOTAL</t>
  </si>
  <si>
    <t xml:space="preserve">DISTRIBUCIÓN POR TIPO</t>
  </si>
  <si>
    <t xml:space="preserve">Fondo</t>
  </si>
  <si>
    <t xml:space="preserve">Efectivo</t>
  </si>
  <si>
    <t xml:space="preserve">Guía rápida y aviso</t>
  </si>
  <si>
    <t xml:space="preserve">Calculadora</t>
  </si>
  <si>
    <t xml:space="preserve">Cambia solo las celdas amarillas (capital inicial, aporte mensual, tasa anual y años). La tabla y el gráfico se recalculan solos. Asume aportes a inicio de cada mes y capitalización mensual.</t>
  </si>
  <si>
    <t xml:space="preserve">Cartera</t>
  </si>
  <si>
    <t xml:space="preserve">Rellena las columnas azules. 'Precio actual' lo actualizas tú (o me pides que lo busque). Inversión, valor, ganancia/pérdida, rendimiento y peso en cartera se calculan solos.</t>
  </si>
  <si>
    <t xml:space="preserve">Define tu moneda en la hoja Calculadora (celda B4). Los números no llevan símbolo para evitar errores; ajústalo a tu país.</t>
  </si>
  <si>
    <t xml:space="preserve">Tasa estimada</t>
  </si>
  <si>
    <t xml:space="preserve">El 7% anual es un valor de ejemplo (referencia histórica aproximada de bolsa global a largo plazo). Rendimientos pasados no garantizan rendimientos futuros.</t>
  </si>
  <si>
    <t xml:space="preserve">AVISO</t>
  </si>
  <si>
    <t xml:space="preserve">Esta herramienta es informativa y educativa. No es asesoría financiera ni una recomendación de compra/venta. Las inversiones implican riesgo, incluida la pérdida del capital.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</si>
</sst>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%"/>
    <numFmt numFmtId="167" formatCode="0"/>
    <numFmt numFmtId="168" formatCode="0.0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2E5496"/>
      </patternFill>
    </fill>
    <fill>
      <patternFill patternType="solid">
        <fgColor rgb="FF2E5496"/>
        <bgColor rgb="FF1F3864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6E0F0"/>
      </patternFill>
    </fill>
    <fill>
      <patternFill patternType="solid">
        <fgColor rgb="FFD6E0F0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CCFFFF"/>
      <rgbColor rgb="FF660066"/>
      <rgbColor rgb="FFFF8080"/>
      <rgbColor rgb="FF0066CC"/>
      <rgbColor rgb="FFD6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D9D9D9"/>
      <rgbColor rgb="FF4A7EBB"/>
      <rgbColor rgb="FF4BACC6"/>
      <rgbColor rgb="FF9BBB59"/>
      <rgbColor rgb="FFFFCC00"/>
      <rgbColor rgb="FFF79646"/>
      <rgbColor rgb="FFFF6600"/>
      <rgbColor rgb="FF8064A2"/>
      <rgbColor rgb="FF969696"/>
      <rgbColor rgb="FF1F3864"/>
      <rgbColor rgb="FF4F81BD"/>
      <rgbColor rgb="FF003300"/>
      <rgbColor rgb="FF333300"/>
      <rgbColor rgb="FF993300"/>
      <rgbColor rgb="FFC0504D"/>
      <rgbColor rgb="FF2E5496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Crecimiento de la inversión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Calculadora!E17</c:f>
              <c:strCache>
                <c:ptCount val="1"/>
                <c:pt idx="0">
                  <c:v>Saldo final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Calculadora!$A$18:$A$57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strCache>
            </c:strRef>
          </c:cat>
          <c:val>
            <c:numRef>
              <c:f>Calculadora!$E$18:$E$57</c:f>
              <c:numCache>
                <c:formatCode>#,##0.00</c:formatCode>
                <c:ptCount val="40"/>
                <c:pt idx="0">
                  <c:v>3550.80713878432</c:v>
                </c:pt>
                <c:pt idx="1">
                  <c:v>6286.01233188003</c:v>
                </c:pt>
                <c:pt idx="2">
                  <c:v>9218.94572954302</c:v>
                </c:pt>
                <c:pt idx="3">
                  <c:v>12363.901119669</c:v>
                </c:pt>
                <c:pt idx="4">
                  <c:v>15736.2055892365</c:v>
                </c:pt>
                <c:pt idx="5">
                  <c:v>19352.2942215808</c:v>
                </c:pt>
                <c:pt idx="6">
                  <c:v>23229.7901935407</c:v>
                </c:pt>
                <c:pt idx="7">
                  <c:v>27387.5906628332</c:v>
                </c:pt>
                <c:pt idx="8">
                  <c:v>31845.958864235</c:v>
                </c:pt>
                <c:pt idx="9">
                  <c:v>36626.622863403</c:v>
                </c:pt>
                <c:pt idx="10">
                  <c:v>41752.8814496173</c:v>
                </c:pt>
                <c:pt idx="11">
                  <c:v>47249.7176835191</c:v>
                </c:pt>
                <c:pt idx="12">
                  <c:v>53143.9206532231</c:v>
                </c:pt>
                <c:pt idx="13">
                  <c:v>59464.2160321901</c:v>
                </c:pt>
                <c:pt idx="14">
                  <c:v>66241.4060751379</c:v>
                </c:pt>
                <c:pt idx="15">
                  <c:v>73508.5197342684</c:v>
                </c:pt>
                <c:pt idx="16">
                  <c:v>81300.973627409</c:v>
                </c:pt>
                <c:pt idx="17">
                  <c:v>89656.7446425532</c:v>
                </c:pt>
                <c:pt idx="18">
                  <c:v>98616.5550199983</c:v>
                </c:pt>
                <c:pt idx="19">
                  <c:v>108224.070814086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Calculadora!F17</c:f>
              <c:strCache>
                <c:ptCount val="1"/>
                <c:pt idx="0">
                  <c:v>Total aportado acum.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Calculadora!$A$18:$A$57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strCache>
            </c:strRef>
          </c:cat>
          <c:val>
            <c:numRef>
              <c:f>Calculadora!$F$18:$F$57</c:f>
              <c:numCache>
                <c:formatCode>#,##0.00</c:formatCode>
                <c:ptCount val="40"/>
                <c:pt idx="0">
                  <c:v>3400</c:v>
                </c:pt>
                <c:pt idx="1">
                  <c:v>5800</c:v>
                </c:pt>
                <c:pt idx="2">
                  <c:v>8200</c:v>
                </c:pt>
                <c:pt idx="3">
                  <c:v>10600</c:v>
                </c:pt>
                <c:pt idx="4">
                  <c:v>13000</c:v>
                </c:pt>
                <c:pt idx="5">
                  <c:v>15400</c:v>
                </c:pt>
                <c:pt idx="6">
                  <c:v>17800</c:v>
                </c:pt>
                <c:pt idx="7">
                  <c:v>20200</c:v>
                </c:pt>
                <c:pt idx="8">
                  <c:v>22600</c:v>
                </c:pt>
                <c:pt idx="9">
                  <c:v>25000</c:v>
                </c:pt>
                <c:pt idx="10">
                  <c:v>27400</c:v>
                </c:pt>
                <c:pt idx="11">
                  <c:v>29800</c:v>
                </c:pt>
                <c:pt idx="12">
                  <c:v>32200</c:v>
                </c:pt>
                <c:pt idx="13">
                  <c:v>34600</c:v>
                </c:pt>
                <c:pt idx="14">
                  <c:v>37000</c:v>
                </c:pt>
                <c:pt idx="15">
                  <c:v>39400</c:v>
                </c:pt>
                <c:pt idx="16">
                  <c:v>41800</c:v>
                </c:pt>
                <c:pt idx="17">
                  <c:v>44200</c:v>
                </c:pt>
                <c:pt idx="18">
                  <c:v>46600</c:v>
                </c:pt>
                <c:pt idx="19">
                  <c:v>49000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4941967"/>
        <c:axId val="40494921"/>
      </c:lineChart>
      <c:catAx>
        <c:axId val="949419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494921"/>
        <c:crosses val="autoZero"/>
        <c:auto val="1"/>
        <c:lblAlgn val="ctr"/>
        <c:lblOffset val="100"/>
        <c:noMultiLvlLbl val="0"/>
      </c:catAx>
      <c:valAx>
        <c:axId val="404949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Saldo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94196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Distribución por tipo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Cartera!B29</c:f>
              <c:strCache>
                <c:ptCount val="1"/>
                <c:pt idx="0">
                  <c:v>Valor actual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Cartera!$A$30:$A$35</c:f>
              <c:strCache>
                <c:ptCount val="6"/>
                <c:pt idx="0">
                  <c:v>Acción</c:v>
                </c:pt>
                <c:pt idx="1">
                  <c:v>ETF</c:v>
                </c:pt>
                <c:pt idx="2">
                  <c:v>Cripto</c:v>
                </c:pt>
                <c:pt idx="3">
                  <c:v>Bono</c:v>
                </c:pt>
                <c:pt idx="4">
                  <c:v>Fondo</c:v>
                </c:pt>
                <c:pt idx="5">
                  <c:v>Efectivo</c:v>
                </c:pt>
              </c:strCache>
            </c:strRef>
          </c:cat>
          <c:val>
            <c:numRef>
              <c:f>Cartera!$B$30:$B$35</c:f>
              <c:numCache>
                <c:formatCode>#,##0.00</c:formatCode>
                <c:ptCount val="6"/>
                <c:pt idx="0">
                  <c:v>1750</c:v>
                </c:pt>
                <c:pt idx="1">
                  <c:v>2150</c:v>
                </c:pt>
                <c:pt idx="2">
                  <c:v>3100</c:v>
                </c:pt>
                <c:pt idx="3">
                  <c:v>2020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17</xdr:col>
      <xdr:colOff>4680</xdr:colOff>
      <xdr:row>19</xdr:row>
      <xdr:rowOff>11520</xdr:rowOff>
    </xdr:to>
    <xdr:graphicFrame>
      <xdr:nvGraphicFramePr>
        <xdr:cNvPr id="1" name="Chart 1"/>
        <xdr:cNvGraphicFramePr/>
      </xdr:nvGraphicFramePr>
      <xdr:xfrm>
        <a:off x="8083080" y="73332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27</xdr:row>
      <xdr:rowOff>0</xdr:rowOff>
    </xdr:from>
    <xdr:to>
      <xdr:col>8</xdr:col>
      <xdr:colOff>153360</xdr:colOff>
      <xdr:row>40</xdr:row>
      <xdr:rowOff>110880</xdr:rowOff>
    </xdr:to>
    <xdr:graphicFrame>
      <xdr:nvGraphicFramePr>
        <xdr:cNvPr id="2" name="Chart 1"/>
        <xdr:cNvGraphicFramePr/>
      </xdr:nvGraphicFramePr>
      <xdr:xfrm>
        <a:off x="3594600" y="5418000"/>
        <a:ext cx="39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6"/>
    <col collapsed="false" customWidth="true" hidden="false" outlineLevel="0" max="6" min="6" style="0" width="2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5" t="n">
        <v>1000</v>
      </c>
    </row>
    <row r="6" customFormat="false" ht="15" hidden="false" customHeight="false" outlineLevel="0" collapsed="false">
      <c r="A6" s="3" t="s">
        <v>5</v>
      </c>
      <c r="B6" s="5" t="n">
        <v>200</v>
      </c>
    </row>
    <row r="7" customFormat="false" ht="15" hidden="false" customHeight="false" outlineLevel="0" collapsed="false">
      <c r="A7" s="3" t="s">
        <v>6</v>
      </c>
      <c r="B7" s="6" t="n">
        <v>0.07</v>
      </c>
    </row>
    <row r="8" customFormat="false" ht="15" hidden="false" customHeight="false" outlineLevel="0" collapsed="false">
      <c r="A8" s="3" t="s">
        <v>7</v>
      </c>
      <c r="B8" s="7" t="n">
        <v>20</v>
      </c>
    </row>
    <row r="9" customFormat="false" ht="15" hidden="false" customHeight="false" outlineLevel="0" collapsed="false">
      <c r="A9" s="3" t="s">
        <v>8</v>
      </c>
      <c r="B9" s="8" t="n">
        <f aca="false">B7/12</f>
        <v>0.00583333333333333</v>
      </c>
    </row>
    <row r="11" customFormat="false" ht="15" hidden="false" customHeight="false" outlineLevel="0" collapsed="false">
      <c r="A11" s="2" t="s">
        <v>9</v>
      </c>
      <c r="B11" s="2"/>
      <c r="C11" s="2"/>
      <c r="D11" s="2"/>
      <c r="E11" s="2"/>
      <c r="F11" s="2"/>
    </row>
    <row r="12" customFormat="false" ht="15" hidden="false" customHeight="false" outlineLevel="0" collapsed="false">
      <c r="A12" s="9" t="s">
        <v>10</v>
      </c>
      <c r="B12" s="10" t="n">
        <f aca="false">B5+B6*12*B8</f>
        <v>49000</v>
      </c>
    </row>
    <row r="13" customFormat="false" ht="15" hidden="false" customHeight="false" outlineLevel="0" collapsed="false">
      <c r="A13" s="9" t="s">
        <v>11</v>
      </c>
      <c r="B13" s="10" t="n">
        <f aca="false">INDEX(E18:E57,MATCH(B8,A18:A57,0))</f>
        <v>108224.070814086</v>
      </c>
    </row>
    <row r="14" customFormat="false" ht="15" hidden="false" customHeight="false" outlineLevel="0" collapsed="false">
      <c r="A14" s="9" t="s">
        <v>12</v>
      </c>
      <c r="B14" s="10" t="n">
        <f aca="false">B13-B12</f>
        <v>59224.0708140855</v>
      </c>
    </row>
    <row r="16" customFormat="false" ht="15" hidden="false" customHeight="false" outlineLevel="0" collapsed="false">
      <c r="A16" s="2" t="s">
        <v>13</v>
      </c>
      <c r="B16" s="2"/>
      <c r="C16" s="2"/>
      <c r="D16" s="2"/>
      <c r="E16" s="2"/>
      <c r="F16" s="2"/>
    </row>
    <row r="17" customFormat="false" ht="15" hidden="false" customHeight="false" outlineLevel="0" collapsed="false">
      <c r="A17" s="11" t="s">
        <v>14</v>
      </c>
      <c r="B17" s="11" t="s">
        <v>15</v>
      </c>
      <c r="C17" s="11" t="s">
        <v>16</v>
      </c>
      <c r="D17" s="11" t="s">
        <v>17</v>
      </c>
      <c r="E17" s="11" t="s">
        <v>18</v>
      </c>
      <c r="F17" s="11" t="s">
        <v>19</v>
      </c>
    </row>
    <row r="18" customFormat="false" ht="15" hidden="false" customHeight="false" outlineLevel="0" collapsed="false">
      <c r="A18" s="12" t="n">
        <v>1</v>
      </c>
      <c r="B18" s="13" t="n">
        <f aca="false">IF($B$8&gt;=1,$B$5,"")</f>
        <v>1000</v>
      </c>
      <c r="C18" s="13" t="n">
        <f aca="false">IF($B$8&gt;=1,$B$6*12,"")</f>
        <v>2400</v>
      </c>
      <c r="D18" s="13" t="n">
        <f aca="false">IF($B$8&gt;=1,E18-B18-C18,"")</f>
        <v>150.807138784323</v>
      </c>
      <c r="E18" s="13" t="n">
        <f aca="false">IF($B$8&gt;=1,IF($B$9=0,B18+$B$6*12,B18*(1+$B$9)^12+$B$6*(((1+$B$9)^12-1)/$B$9)),"")</f>
        <v>3550.80713878432</v>
      </c>
      <c r="F18" s="13" t="n">
        <f aca="false">IF($B$8&gt;=1,$B$5+$B$6*12*A18,"")</f>
        <v>3400</v>
      </c>
    </row>
    <row r="19" customFormat="false" ht="15" hidden="false" customHeight="false" outlineLevel="0" collapsed="false">
      <c r="A19" s="12" t="n">
        <v>2</v>
      </c>
      <c r="B19" s="13" t="n">
        <f aca="false">IF($B$8&gt;=2,E18,"")</f>
        <v>3550.80713878432</v>
      </c>
      <c r="C19" s="13" t="n">
        <f aca="false">IF($B$8&gt;=2,$B$6*12,"")</f>
        <v>2400</v>
      </c>
      <c r="D19" s="13" t="n">
        <f aca="false">IF($B$8&gt;=2,E19-B19-C19,"")</f>
        <v>335.205193095705</v>
      </c>
      <c r="E19" s="13" t="n">
        <f aca="false">IF($B$8&gt;=2,IF($B$9=0,B19+$B$6*12,B19*(1+$B$9)^12+$B$6*(((1+$B$9)^12-1)/$B$9)),"")</f>
        <v>6286.01233188003</v>
      </c>
      <c r="F19" s="13" t="n">
        <f aca="false">IF($B$8&gt;=2,$B$5+$B$6*12*A19,"")</f>
        <v>5800</v>
      </c>
    </row>
    <row r="20" customFormat="false" ht="15" hidden="false" customHeight="false" outlineLevel="0" collapsed="false">
      <c r="A20" s="12" t="n">
        <v>3</v>
      </c>
      <c r="B20" s="13" t="n">
        <f aca="false">IF($B$8&gt;=3,E19,"")</f>
        <v>6286.01233188003</v>
      </c>
      <c r="C20" s="13" t="n">
        <f aca="false">IF($B$8&gt;=3,$B$6*12,"")</f>
        <v>2400</v>
      </c>
      <c r="D20" s="13" t="n">
        <f aca="false">IF($B$8&gt;=3,E20-B20-C20,"")</f>
        <v>532.93339766299</v>
      </c>
      <c r="E20" s="13" t="n">
        <f aca="false">IF($B$8&gt;=3,IF($B$9=0,B20+$B$6*12,B20*(1+$B$9)^12+$B$6*(((1+$B$9)^12-1)/$B$9)),"")</f>
        <v>9218.94572954302</v>
      </c>
      <c r="F20" s="13" t="n">
        <f aca="false">IF($B$8&gt;=3,$B$5+$B$6*12*A20,"")</f>
        <v>8200</v>
      </c>
    </row>
    <row r="21" customFormat="false" ht="15" hidden="false" customHeight="false" outlineLevel="0" collapsed="false">
      <c r="A21" s="12" t="n">
        <v>4</v>
      </c>
      <c r="B21" s="13" t="n">
        <f aca="false">IF($B$8&gt;=4,E20,"")</f>
        <v>9218.94572954302</v>
      </c>
      <c r="C21" s="13" t="n">
        <f aca="false">IF($B$8&gt;=4,$B$6*12,"")</f>
        <v>2400</v>
      </c>
      <c r="D21" s="13" t="n">
        <f aca="false">IF($B$8&gt;=4,E21-B21-C21,"")</f>
        <v>744.955390126002</v>
      </c>
      <c r="E21" s="13" t="n">
        <f aca="false">IF($B$8&gt;=4,IF($B$9=0,B21+$B$6*12,B21*(1+$B$9)^12+$B$6*(((1+$B$9)^12-1)/$B$9)),"")</f>
        <v>12363.901119669</v>
      </c>
      <c r="F21" s="13" t="n">
        <f aca="false">IF($B$8&gt;=4,$B$5+$B$6*12*A21,"")</f>
        <v>10600</v>
      </c>
    </row>
    <row r="22" customFormat="false" ht="15" hidden="false" customHeight="false" outlineLevel="0" collapsed="false">
      <c r="A22" s="12" t="n">
        <v>5</v>
      </c>
      <c r="B22" s="13" t="n">
        <f aca="false">IF($B$8&gt;=5,E21,"")</f>
        <v>12363.901119669</v>
      </c>
      <c r="C22" s="13" t="n">
        <f aca="false">IF($B$8&gt;=5,$B$6*12,"")</f>
        <v>2400</v>
      </c>
      <c r="D22" s="13" t="n">
        <f aca="false">IF($B$8&gt;=5,E22-B22-C22,"")</f>
        <v>972.304469567467</v>
      </c>
      <c r="E22" s="13" t="n">
        <f aca="false">IF($B$8&gt;=5,IF($B$9=0,B22+$B$6*12,B22*(1+$B$9)^12+$B$6*(((1+$B$9)^12-1)/$B$9)),"")</f>
        <v>15736.2055892365</v>
      </c>
      <c r="F22" s="13" t="n">
        <f aca="false">IF($B$8&gt;=5,$B$5+$B$6*12*A22,"")</f>
        <v>13000</v>
      </c>
    </row>
    <row r="23" customFormat="false" ht="15" hidden="false" customHeight="false" outlineLevel="0" collapsed="false">
      <c r="A23" s="12" t="n">
        <v>6</v>
      </c>
      <c r="B23" s="13" t="n">
        <f aca="false">IF($B$8&gt;=6,E22,"")</f>
        <v>15736.2055892365</v>
      </c>
      <c r="C23" s="13" t="n">
        <f aca="false">IF($B$8&gt;=6,$B$6*12,"")</f>
        <v>2400</v>
      </c>
      <c r="D23" s="13" t="n">
        <f aca="false">IF($B$8&gt;=6,E23-B23-C23,"")</f>
        <v>1216.08863234434</v>
      </c>
      <c r="E23" s="13" t="n">
        <f aca="false">IF($B$8&gt;=6,IF($B$9=0,B23+$B$6*12,B23*(1+$B$9)^12+$B$6*(((1+$B$9)^12-1)/$B$9)),"")</f>
        <v>19352.2942215808</v>
      </c>
      <c r="F23" s="13" t="n">
        <f aca="false">IF($B$8&gt;=6,$B$5+$B$6*12*A23,"")</f>
        <v>15400</v>
      </c>
    </row>
    <row r="24" customFormat="false" ht="15" hidden="false" customHeight="false" outlineLevel="0" collapsed="false">
      <c r="A24" s="12" t="n">
        <v>7</v>
      </c>
      <c r="B24" s="13" t="n">
        <f aca="false">IF($B$8&gt;=7,E23,"")</f>
        <v>19352.2942215808</v>
      </c>
      <c r="C24" s="13" t="n">
        <f aca="false">IF($B$8&gt;=7,$B$6*12,"")</f>
        <v>2400</v>
      </c>
      <c r="D24" s="13" t="n">
        <f aca="false">IF($B$8&gt;=7,E24-B24-C24,"")</f>
        <v>1477.49597195983</v>
      </c>
      <c r="E24" s="13" t="n">
        <f aca="false">IF($B$8&gt;=7,IF($B$9=0,B24+$B$6*12,B24*(1+$B$9)^12+$B$6*(((1+$B$9)^12-1)/$B$9)),"")</f>
        <v>23229.7901935407</v>
      </c>
      <c r="F24" s="13" t="n">
        <f aca="false">IF($B$8&gt;=7,$B$5+$B$6*12*A24,"")</f>
        <v>17800</v>
      </c>
    </row>
    <row r="25" customFormat="false" ht="15" hidden="false" customHeight="false" outlineLevel="0" collapsed="false">
      <c r="A25" s="12" t="n">
        <v>8</v>
      </c>
      <c r="B25" s="13" t="n">
        <f aca="false">IF($B$8&gt;=8,E24,"")</f>
        <v>23229.7901935407</v>
      </c>
      <c r="C25" s="13" t="n">
        <f aca="false">IF($B$8&gt;=8,$B$6*12,"")</f>
        <v>2400</v>
      </c>
      <c r="D25" s="13" t="n">
        <f aca="false">IF($B$8&gt;=8,E25-B25-C25,"")</f>
        <v>1757.80046929254</v>
      </c>
      <c r="E25" s="13" t="n">
        <f aca="false">IF($B$8&gt;=8,IF($B$9=0,B25+$B$6*12,B25*(1+$B$9)^12+$B$6*(((1+$B$9)^12-1)/$B$9)),"")</f>
        <v>27387.5906628332</v>
      </c>
      <c r="F25" s="13" t="n">
        <f aca="false">IF($B$8&gt;=8,$B$5+$B$6*12*A25,"")</f>
        <v>20200</v>
      </c>
    </row>
    <row r="26" customFormat="false" ht="15" hidden="false" customHeight="false" outlineLevel="0" collapsed="false">
      <c r="A26" s="12" t="n">
        <v>9</v>
      </c>
      <c r="B26" s="13" t="n">
        <f aca="false">IF($B$8&gt;=9,E25,"")</f>
        <v>27387.5906628332</v>
      </c>
      <c r="C26" s="13" t="n">
        <f aca="false">IF($B$8&gt;=9,$B$6*12,"")</f>
        <v>2400</v>
      </c>
      <c r="D26" s="13" t="n">
        <f aca="false">IF($B$8&gt;=9,E26-B26-C26,"")</f>
        <v>2058.36820140179</v>
      </c>
      <c r="E26" s="13" t="n">
        <f aca="false">IF($B$8&gt;=9,IF($B$9=0,B26+$B$6*12,B26*(1+$B$9)^12+$B$6*(((1+$B$9)^12-1)/$B$9)),"")</f>
        <v>31845.958864235</v>
      </c>
      <c r="F26" s="13" t="n">
        <f aca="false">IF($B$8&gt;=9,$B$5+$B$6*12*A26,"")</f>
        <v>22600</v>
      </c>
    </row>
    <row r="27" customFormat="false" ht="15" hidden="false" customHeight="false" outlineLevel="0" collapsed="false">
      <c r="A27" s="12" t="n">
        <v>10</v>
      </c>
      <c r="B27" s="13" t="n">
        <f aca="false">IF($B$8&gt;=10,E26,"")</f>
        <v>31845.958864235</v>
      </c>
      <c r="C27" s="13" t="n">
        <f aca="false">IF($B$8&gt;=10,$B$6*12,"")</f>
        <v>2400</v>
      </c>
      <c r="D27" s="13" t="n">
        <f aca="false">IF($B$8&gt;=10,E27-B27-C27,"")</f>
        <v>2380.663999168</v>
      </c>
      <c r="E27" s="13" t="n">
        <f aca="false">IF($B$8&gt;=10,IF($B$9=0,B27+$B$6*12,B27*(1+$B$9)^12+$B$6*(((1+$B$9)^12-1)/$B$9)),"")</f>
        <v>36626.622863403</v>
      </c>
      <c r="F27" s="13" t="n">
        <f aca="false">IF($B$8&gt;=10,$B$5+$B$6*12*A27,"")</f>
        <v>25000</v>
      </c>
    </row>
    <row r="28" customFormat="false" ht="15" hidden="false" customHeight="false" outlineLevel="0" collapsed="false">
      <c r="A28" s="12" t="n">
        <v>11</v>
      </c>
      <c r="B28" s="13" t="n">
        <f aca="false">IF($B$8&gt;=11,E27,"")</f>
        <v>36626.622863403</v>
      </c>
      <c r="C28" s="13" t="n">
        <f aca="false">IF($B$8&gt;=11,$B$6*12,"")</f>
        <v>2400</v>
      </c>
      <c r="D28" s="13" t="n">
        <f aca="false">IF($B$8&gt;=11,E28-B28-C28,"")</f>
        <v>2726.25858621435</v>
      </c>
      <c r="E28" s="13" t="n">
        <f aca="false">IF($B$8&gt;=11,IF($B$9=0,B28+$B$6*12,B28*(1+$B$9)^12+$B$6*(((1+$B$9)^12-1)/$B$9)),"")</f>
        <v>41752.8814496173</v>
      </c>
      <c r="F28" s="13" t="n">
        <f aca="false">IF($B$8&gt;=11,$B$5+$B$6*12*A28,"")</f>
        <v>27400</v>
      </c>
    </row>
    <row r="29" customFormat="false" ht="15" hidden="false" customHeight="false" outlineLevel="0" collapsed="false">
      <c r="A29" s="12" t="n">
        <v>12</v>
      </c>
      <c r="B29" s="13" t="n">
        <f aca="false">IF($B$8&gt;=12,E28,"")</f>
        <v>41752.8814496173</v>
      </c>
      <c r="C29" s="13" t="n">
        <f aca="false">IF($B$8&gt;=12,$B$6*12,"")</f>
        <v>2400</v>
      </c>
      <c r="D29" s="13" t="n">
        <f aca="false">IF($B$8&gt;=12,E29-B29-C29,"")</f>
        <v>3096.83623390176</v>
      </c>
      <c r="E29" s="13" t="n">
        <f aca="false">IF($B$8&gt;=12,IF($B$9=0,B29+$B$6*12,B29*(1+$B$9)^12+$B$6*(((1+$B$9)^12-1)/$B$9)),"")</f>
        <v>47249.7176835191</v>
      </c>
      <c r="F29" s="13" t="n">
        <f aca="false">IF($B$8&gt;=12,$B$5+$B$6*12*A29,"")</f>
        <v>29800</v>
      </c>
    </row>
    <row r="30" customFormat="false" ht="15" hidden="false" customHeight="false" outlineLevel="0" collapsed="false">
      <c r="A30" s="12" t="n">
        <v>13</v>
      </c>
      <c r="B30" s="13" t="n">
        <f aca="false">IF($B$8&gt;=13,E29,"")</f>
        <v>47249.7176835191</v>
      </c>
      <c r="C30" s="13" t="n">
        <f aca="false">IF($B$8&gt;=13,$B$6*12,"")</f>
        <v>2400</v>
      </c>
      <c r="D30" s="13" t="n">
        <f aca="false">IF($B$8&gt;=13,E30-B30-C30,"")</f>
        <v>3494.20296970401</v>
      </c>
      <c r="E30" s="13" t="n">
        <f aca="false">IF($B$8&gt;=13,IF($B$9=0,B30+$B$6*12,B30*(1+$B$9)^12+$B$6*(((1+$B$9)^12-1)/$B$9)),"")</f>
        <v>53143.9206532231</v>
      </c>
      <c r="F30" s="13" t="n">
        <f aca="false">IF($B$8&gt;=13,$B$5+$B$6*12*A30,"")</f>
        <v>32200</v>
      </c>
    </row>
    <row r="31" customFormat="false" ht="15" hidden="false" customHeight="false" outlineLevel="0" collapsed="false">
      <c r="A31" s="12" t="n">
        <v>14</v>
      </c>
      <c r="B31" s="13" t="n">
        <f aca="false">IF($B$8&gt;=14,E30,"")</f>
        <v>53143.9206532231</v>
      </c>
      <c r="C31" s="13" t="n">
        <f aca="false">IF($B$8&gt;=14,$B$6*12,"")</f>
        <v>2400</v>
      </c>
      <c r="D31" s="13" t="n">
        <f aca="false">IF($B$8&gt;=14,E31-B31-C31,"")</f>
        <v>3920.29537896697</v>
      </c>
      <c r="E31" s="13" t="n">
        <f aca="false">IF($B$8&gt;=14,IF($B$9=0,B31+$B$6*12,B31*(1+$B$9)^12+$B$6*(((1+$B$9)^12-1)/$B$9)),"")</f>
        <v>59464.2160321901</v>
      </c>
      <c r="F31" s="13" t="n">
        <f aca="false">IF($B$8&gt;=14,$B$5+$B$6*12*A31,"")</f>
        <v>34600</v>
      </c>
    </row>
    <row r="32" customFormat="false" ht="15" hidden="false" customHeight="false" outlineLevel="0" collapsed="false">
      <c r="A32" s="12" t="n">
        <v>15</v>
      </c>
      <c r="B32" s="13" t="n">
        <f aca="false">IF($B$8&gt;=15,E31,"")</f>
        <v>59464.2160321901</v>
      </c>
      <c r="C32" s="13" t="n">
        <f aca="false">IF($B$8&gt;=15,$B$6*12,"")</f>
        <v>2400</v>
      </c>
      <c r="D32" s="13" t="n">
        <f aca="false">IF($B$8&gt;=15,E32-B32-C32,"")</f>
        <v>4377.19004294779</v>
      </c>
      <c r="E32" s="13" t="n">
        <f aca="false">IF($B$8&gt;=15,IF($B$9=0,B32+$B$6*12,B32*(1+$B$9)^12+$B$6*(((1+$B$9)^12-1)/$B$9)),"")</f>
        <v>66241.4060751379</v>
      </c>
      <c r="F32" s="13" t="n">
        <f aca="false">IF($B$8&gt;=15,$B$5+$B$6*12*A32,"")</f>
        <v>37000</v>
      </c>
    </row>
    <row r="33" customFormat="false" ht="15" hidden="false" customHeight="false" outlineLevel="0" collapsed="false">
      <c r="A33" s="12" t="n">
        <v>16</v>
      </c>
      <c r="B33" s="13" t="n">
        <f aca="false">IF($B$8&gt;=16,E32,"")</f>
        <v>66241.4060751379</v>
      </c>
      <c r="C33" s="13" t="n">
        <f aca="false">IF($B$8&gt;=16,$B$6*12,"")</f>
        <v>2400</v>
      </c>
      <c r="D33" s="13" t="n">
        <f aca="false">IF($B$8&gt;=16,E33-B33-C33,"")</f>
        <v>4867.11365913056</v>
      </c>
      <c r="E33" s="13" t="n">
        <f aca="false">IF($B$8&gt;=16,IF($B$9=0,B33+$B$6*12,B33*(1+$B$9)^12+$B$6*(((1+$B$9)^12-1)/$B$9)),"")</f>
        <v>73508.5197342684</v>
      </c>
      <c r="F33" s="13" t="n">
        <f aca="false">IF($B$8&gt;=16,$B$5+$B$6*12*A33,"")</f>
        <v>39400</v>
      </c>
    </row>
    <row r="34" customFormat="false" ht="15" hidden="false" customHeight="false" outlineLevel="0" collapsed="false">
      <c r="A34" s="12" t="n">
        <v>17</v>
      </c>
      <c r="B34" s="13" t="n">
        <f aca="false">IF($B$8&gt;=17,E33,"")</f>
        <v>73508.5197342684</v>
      </c>
      <c r="C34" s="13" t="n">
        <f aca="false">IF($B$8&gt;=17,$B$6*12,"")</f>
        <v>2400</v>
      </c>
      <c r="D34" s="13" t="n">
        <f aca="false">IF($B$8&gt;=17,E34-B34-C34,"")</f>
        <v>5392.45389314056</v>
      </c>
      <c r="E34" s="13" t="n">
        <f aca="false">IF($B$8&gt;=17,IF($B$9=0,B34+$B$6*12,B34*(1+$B$9)^12+$B$6*(((1+$B$9)^12-1)/$B$9)),"")</f>
        <v>81300.973627409</v>
      </c>
      <c r="F34" s="13" t="n">
        <f aca="false">IF($B$8&gt;=17,$B$5+$B$6*12*A34,"")</f>
        <v>41800</v>
      </c>
    </row>
    <row r="35" customFormat="false" ht="15" hidden="false" customHeight="false" outlineLevel="0" collapsed="false">
      <c r="A35" s="12" t="n">
        <v>18</v>
      </c>
      <c r="B35" s="13" t="n">
        <f aca="false">IF($B$8&gt;=18,E34,"")</f>
        <v>81300.973627409</v>
      </c>
      <c r="C35" s="13" t="n">
        <f aca="false">IF($B$8&gt;=18,$B$6*12,"")</f>
        <v>2400</v>
      </c>
      <c r="D35" s="13" t="n">
        <f aca="false">IF($B$8&gt;=18,E35-B35-C35,"")</f>
        <v>5955.77101514419</v>
      </c>
      <c r="E35" s="13" t="n">
        <f aca="false">IF($B$8&gt;=18,IF($B$9=0,B35+$B$6*12,B35*(1+$B$9)^12+$B$6*(((1+$B$9)^12-1)/$B$9)),"")</f>
        <v>89656.7446425532</v>
      </c>
      <c r="F35" s="13" t="n">
        <f aca="false">IF($B$8&gt;=18,$B$5+$B$6*12*A35,"")</f>
        <v>44200</v>
      </c>
    </row>
    <row r="36" customFormat="false" ht="15" hidden="false" customHeight="false" outlineLevel="0" collapsed="false">
      <c r="A36" s="12" t="n">
        <v>19</v>
      </c>
      <c r="B36" s="13" t="n">
        <f aca="false">IF($B$8&gt;=19,E35,"")</f>
        <v>89656.7446425532</v>
      </c>
      <c r="C36" s="13" t="n">
        <f aca="false">IF($B$8&gt;=19,$B$6*12,"")</f>
        <v>2400</v>
      </c>
      <c r="D36" s="13" t="n">
        <f aca="false">IF($B$8&gt;=19,E36-B36-C36,"")</f>
        <v>6559.81037744515</v>
      </c>
      <c r="E36" s="13" t="n">
        <f aca="false">IF($B$8&gt;=19,IF($B$9=0,B36+$B$6*12,B36*(1+$B$9)^12+$B$6*(((1+$B$9)^12-1)/$B$9)),"")</f>
        <v>98616.5550199983</v>
      </c>
      <c r="F36" s="13" t="n">
        <f aca="false">IF($B$8&gt;=19,$B$5+$B$6*12*A36,"")</f>
        <v>46600</v>
      </c>
    </row>
    <row r="37" customFormat="false" ht="15" hidden="false" customHeight="false" outlineLevel="0" collapsed="false">
      <c r="A37" s="12" t="n">
        <v>20</v>
      </c>
      <c r="B37" s="13" t="n">
        <f aca="false">IF($B$8&gt;=20,E36,"")</f>
        <v>98616.5550199983</v>
      </c>
      <c r="C37" s="13" t="n">
        <f aca="false">IF($B$8&gt;=20,$B$6*12,"")</f>
        <v>2400</v>
      </c>
      <c r="D37" s="13" t="n">
        <f aca="false">IF($B$8&gt;=20,E37-B37-C37,"")</f>
        <v>7207.5157940872</v>
      </c>
      <c r="E37" s="13" t="n">
        <f aca="false">IF($B$8&gt;=20,IF($B$9=0,B37+$B$6*12,B37*(1+$B$9)^12+$B$6*(((1+$B$9)^12-1)/$B$9)),"")</f>
        <v>108224.070814086</v>
      </c>
      <c r="F37" s="13" t="n">
        <f aca="false">IF($B$8&gt;=20,$B$5+$B$6*12*A37,"")</f>
        <v>49000</v>
      </c>
    </row>
    <row r="38" customFormat="false" ht="15" hidden="false" customHeight="false" outlineLevel="0" collapsed="false">
      <c r="A38" s="12" t="n">
        <v>21</v>
      </c>
      <c r="B38" s="13" t="str">
        <f aca="false">IF($B$8&gt;=21,E37,"")</f>
        <v/>
      </c>
      <c r="C38" s="13" t="str">
        <f aca="false">IF($B$8&gt;=21,$B$6*12,"")</f>
        <v/>
      </c>
      <c r="D38" s="13" t="str">
        <f aca="false">IF($B$8&gt;=21,E38-B38-C38,"")</f>
        <v/>
      </c>
      <c r="E38" s="13" t="str">
        <f aca="false">IF($B$8&gt;=21,IF($B$9=0,B38+$B$6*12,B38*(1+$B$9)^12+$B$6*(((1+$B$9)^12-1)/$B$9)),"")</f>
        <v/>
      </c>
      <c r="F38" s="13" t="str">
        <f aca="false">IF($B$8&gt;=21,$B$5+$B$6*12*A38,"")</f>
        <v/>
      </c>
    </row>
    <row r="39" customFormat="false" ht="15" hidden="false" customHeight="false" outlineLevel="0" collapsed="false">
      <c r="A39" s="12" t="n">
        <v>22</v>
      </c>
      <c r="B39" s="13" t="str">
        <f aca="false">IF($B$8&gt;=22,E38,"")</f>
        <v/>
      </c>
      <c r="C39" s="13" t="str">
        <f aca="false">IF($B$8&gt;=22,$B$6*12,"")</f>
        <v/>
      </c>
      <c r="D39" s="13" t="str">
        <f aca="false">IF($B$8&gt;=22,E39-B39-C39,"")</f>
        <v/>
      </c>
      <c r="E39" s="13" t="str">
        <f aca="false">IF($B$8&gt;=22,IF($B$9=0,B39+$B$6*12,B39*(1+$B$9)^12+$B$6*(((1+$B$9)^12-1)/$B$9)),"")</f>
        <v/>
      </c>
      <c r="F39" s="13" t="str">
        <f aca="false">IF($B$8&gt;=22,$B$5+$B$6*12*A39,"")</f>
        <v/>
      </c>
    </row>
    <row r="40" customFormat="false" ht="15" hidden="false" customHeight="false" outlineLevel="0" collapsed="false">
      <c r="A40" s="12" t="n">
        <v>23</v>
      </c>
      <c r="B40" s="13" t="str">
        <f aca="false">IF($B$8&gt;=23,E39,"")</f>
        <v/>
      </c>
      <c r="C40" s="13" t="str">
        <f aca="false">IF($B$8&gt;=23,$B$6*12,"")</f>
        <v/>
      </c>
      <c r="D40" s="13" t="str">
        <f aca="false">IF($B$8&gt;=23,E40-B40-C40,"")</f>
        <v/>
      </c>
      <c r="E40" s="13" t="str">
        <f aca="false">IF($B$8&gt;=23,IF($B$9=0,B40+$B$6*12,B40*(1+$B$9)^12+$B$6*(((1+$B$9)^12-1)/$B$9)),"")</f>
        <v/>
      </c>
      <c r="F40" s="13" t="str">
        <f aca="false">IF($B$8&gt;=23,$B$5+$B$6*12*A40,"")</f>
        <v/>
      </c>
    </row>
    <row r="41" customFormat="false" ht="15" hidden="false" customHeight="false" outlineLevel="0" collapsed="false">
      <c r="A41" s="12" t="n">
        <v>24</v>
      </c>
      <c r="B41" s="13" t="str">
        <f aca="false">IF($B$8&gt;=24,E40,"")</f>
        <v/>
      </c>
      <c r="C41" s="13" t="str">
        <f aca="false">IF($B$8&gt;=24,$B$6*12,"")</f>
        <v/>
      </c>
      <c r="D41" s="13" t="str">
        <f aca="false">IF($B$8&gt;=24,E41-B41-C41,"")</f>
        <v/>
      </c>
      <c r="E41" s="13" t="str">
        <f aca="false">IF($B$8&gt;=24,IF($B$9=0,B41+$B$6*12,B41*(1+$B$9)^12+$B$6*(((1+$B$9)^12-1)/$B$9)),"")</f>
        <v/>
      </c>
      <c r="F41" s="13" t="str">
        <f aca="false">IF($B$8&gt;=24,$B$5+$B$6*12*A41,"")</f>
        <v/>
      </c>
    </row>
    <row r="42" customFormat="false" ht="15" hidden="false" customHeight="false" outlineLevel="0" collapsed="false">
      <c r="A42" s="12" t="n">
        <v>25</v>
      </c>
      <c r="B42" s="13" t="str">
        <f aca="false">IF($B$8&gt;=25,E41,"")</f>
        <v/>
      </c>
      <c r="C42" s="13" t="str">
        <f aca="false">IF($B$8&gt;=25,$B$6*12,"")</f>
        <v/>
      </c>
      <c r="D42" s="13" t="str">
        <f aca="false">IF($B$8&gt;=25,E42-B42-C42,"")</f>
        <v/>
      </c>
      <c r="E42" s="13" t="str">
        <f aca="false">IF($B$8&gt;=25,IF($B$9=0,B42+$B$6*12,B42*(1+$B$9)^12+$B$6*(((1+$B$9)^12-1)/$B$9)),"")</f>
        <v/>
      </c>
      <c r="F42" s="13" t="str">
        <f aca="false">IF($B$8&gt;=25,$B$5+$B$6*12*A42,"")</f>
        <v/>
      </c>
    </row>
    <row r="43" customFormat="false" ht="15" hidden="false" customHeight="false" outlineLevel="0" collapsed="false">
      <c r="A43" s="12" t="n">
        <v>26</v>
      </c>
      <c r="B43" s="13" t="str">
        <f aca="false">IF($B$8&gt;=26,E42,"")</f>
        <v/>
      </c>
      <c r="C43" s="13" t="str">
        <f aca="false">IF($B$8&gt;=26,$B$6*12,"")</f>
        <v/>
      </c>
      <c r="D43" s="13" t="str">
        <f aca="false">IF($B$8&gt;=26,E43-B43-C43,"")</f>
        <v/>
      </c>
      <c r="E43" s="13" t="str">
        <f aca="false">IF($B$8&gt;=26,IF($B$9=0,B43+$B$6*12,B43*(1+$B$9)^12+$B$6*(((1+$B$9)^12-1)/$B$9)),"")</f>
        <v/>
      </c>
      <c r="F43" s="13" t="str">
        <f aca="false">IF($B$8&gt;=26,$B$5+$B$6*12*A43,"")</f>
        <v/>
      </c>
    </row>
    <row r="44" customFormat="false" ht="15" hidden="false" customHeight="false" outlineLevel="0" collapsed="false">
      <c r="A44" s="12" t="n">
        <v>27</v>
      </c>
      <c r="B44" s="13" t="str">
        <f aca="false">IF($B$8&gt;=27,E43,"")</f>
        <v/>
      </c>
      <c r="C44" s="13" t="str">
        <f aca="false">IF($B$8&gt;=27,$B$6*12,"")</f>
        <v/>
      </c>
      <c r="D44" s="13" t="str">
        <f aca="false">IF($B$8&gt;=27,E44-B44-C44,"")</f>
        <v/>
      </c>
      <c r="E44" s="13" t="str">
        <f aca="false">IF($B$8&gt;=27,IF($B$9=0,B44+$B$6*12,B44*(1+$B$9)^12+$B$6*(((1+$B$9)^12-1)/$B$9)),"")</f>
        <v/>
      </c>
      <c r="F44" s="13" t="str">
        <f aca="false">IF($B$8&gt;=27,$B$5+$B$6*12*A44,"")</f>
        <v/>
      </c>
    </row>
    <row r="45" customFormat="false" ht="15" hidden="false" customHeight="false" outlineLevel="0" collapsed="false">
      <c r="A45" s="12" t="n">
        <v>28</v>
      </c>
      <c r="B45" s="13" t="str">
        <f aca="false">IF($B$8&gt;=28,E44,"")</f>
        <v/>
      </c>
      <c r="C45" s="13" t="str">
        <f aca="false">IF($B$8&gt;=28,$B$6*12,"")</f>
        <v/>
      </c>
      <c r="D45" s="13" t="str">
        <f aca="false">IF($B$8&gt;=28,E45-B45-C45,"")</f>
        <v/>
      </c>
      <c r="E45" s="13" t="str">
        <f aca="false">IF($B$8&gt;=28,IF($B$9=0,B45+$B$6*12,B45*(1+$B$9)^12+$B$6*(((1+$B$9)^12-1)/$B$9)),"")</f>
        <v/>
      </c>
      <c r="F45" s="13" t="str">
        <f aca="false">IF($B$8&gt;=28,$B$5+$B$6*12*A45,"")</f>
        <v/>
      </c>
    </row>
    <row r="46" customFormat="false" ht="15" hidden="false" customHeight="false" outlineLevel="0" collapsed="false">
      <c r="A46" s="12" t="n">
        <v>29</v>
      </c>
      <c r="B46" s="13" t="str">
        <f aca="false">IF($B$8&gt;=29,E45,"")</f>
        <v/>
      </c>
      <c r="C46" s="13" t="str">
        <f aca="false">IF($B$8&gt;=29,$B$6*12,"")</f>
        <v/>
      </c>
      <c r="D46" s="13" t="str">
        <f aca="false">IF($B$8&gt;=29,E46-B46-C46,"")</f>
        <v/>
      </c>
      <c r="E46" s="13" t="str">
        <f aca="false">IF($B$8&gt;=29,IF($B$9=0,B46+$B$6*12,B46*(1+$B$9)^12+$B$6*(((1+$B$9)^12-1)/$B$9)),"")</f>
        <v/>
      </c>
      <c r="F46" s="13" t="str">
        <f aca="false">IF($B$8&gt;=29,$B$5+$B$6*12*A46,"")</f>
        <v/>
      </c>
    </row>
    <row r="47" customFormat="false" ht="15" hidden="false" customHeight="false" outlineLevel="0" collapsed="false">
      <c r="A47" s="12" t="n">
        <v>30</v>
      </c>
      <c r="B47" s="13" t="str">
        <f aca="false">IF($B$8&gt;=30,E46,"")</f>
        <v/>
      </c>
      <c r="C47" s="13" t="str">
        <f aca="false">IF($B$8&gt;=30,$B$6*12,"")</f>
        <v/>
      </c>
      <c r="D47" s="13" t="str">
        <f aca="false">IF($B$8&gt;=30,E47-B47-C47,"")</f>
        <v/>
      </c>
      <c r="E47" s="13" t="str">
        <f aca="false">IF($B$8&gt;=30,IF($B$9=0,B47+$B$6*12,B47*(1+$B$9)^12+$B$6*(((1+$B$9)^12-1)/$B$9)),"")</f>
        <v/>
      </c>
      <c r="F47" s="13" t="str">
        <f aca="false">IF($B$8&gt;=30,$B$5+$B$6*12*A47,"")</f>
        <v/>
      </c>
    </row>
    <row r="48" customFormat="false" ht="15" hidden="false" customHeight="false" outlineLevel="0" collapsed="false">
      <c r="A48" s="12" t="n">
        <v>31</v>
      </c>
      <c r="B48" s="13" t="str">
        <f aca="false">IF($B$8&gt;=31,E47,"")</f>
        <v/>
      </c>
      <c r="C48" s="13" t="str">
        <f aca="false">IF($B$8&gt;=31,$B$6*12,"")</f>
        <v/>
      </c>
      <c r="D48" s="13" t="str">
        <f aca="false">IF($B$8&gt;=31,E48-B48-C48,"")</f>
        <v/>
      </c>
      <c r="E48" s="13" t="str">
        <f aca="false">IF($B$8&gt;=31,IF($B$9=0,B48+$B$6*12,B48*(1+$B$9)^12+$B$6*(((1+$B$9)^12-1)/$B$9)),"")</f>
        <v/>
      </c>
      <c r="F48" s="13" t="str">
        <f aca="false">IF($B$8&gt;=31,$B$5+$B$6*12*A48,"")</f>
        <v/>
      </c>
    </row>
    <row r="49" customFormat="false" ht="15" hidden="false" customHeight="false" outlineLevel="0" collapsed="false">
      <c r="A49" s="12" t="n">
        <v>32</v>
      </c>
      <c r="B49" s="13" t="str">
        <f aca="false">IF($B$8&gt;=32,E48,"")</f>
        <v/>
      </c>
      <c r="C49" s="13" t="str">
        <f aca="false">IF($B$8&gt;=32,$B$6*12,"")</f>
        <v/>
      </c>
      <c r="D49" s="13" t="str">
        <f aca="false">IF($B$8&gt;=32,E49-B49-C49,"")</f>
        <v/>
      </c>
      <c r="E49" s="13" t="str">
        <f aca="false">IF($B$8&gt;=32,IF($B$9=0,B49+$B$6*12,B49*(1+$B$9)^12+$B$6*(((1+$B$9)^12-1)/$B$9)),"")</f>
        <v/>
      </c>
      <c r="F49" s="13" t="str">
        <f aca="false">IF($B$8&gt;=32,$B$5+$B$6*12*A49,"")</f>
        <v/>
      </c>
    </row>
    <row r="50" customFormat="false" ht="15" hidden="false" customHeight="false" outlineLevel="0" collapsed="false">
      <c r="A50" s="12" t="n">
        <v>33</v>
      </c>
      <c r="B50" s="13" t="str">
        <f aca="false">IF($B$8&gt;=33,E49,"")</f>
        <v/>
      </c>
      <c r="C50" s="13" t="str">
        <f aca="false">IF($B$8&gt;=33,$B$6*12,"")</f>
        <v/>
      </c>
      <c r="D50" s="13" t="str">
        <f aca="false">IF($B$8&gt;=33,E50-B50-C50,"")</f>
        <v/>
      </c>
      <c r="E50" s="13" t="str">
        <f aca="false">IF($B$8&gt;=33,IF($B$9=0,B50+$B$6*12,B50*(1+$B$9)^12+$B$6*(((1+$B$9)^12-1)/$B$9)),"")</f>
        <v/>
      </c>
      <c r="F50" s="13" t="str">
        <f aca="false">IF($B$8&gt;=33,$B$5+$B$6*12*A50,"")</f>
        <v/>
      </c>
    </row>
    <row r="51" customFormat="false" ht="15" hidden="false" customHeight="false" outlineLevel="0" collapsed="false">
      <c r="A51" s="12" t="n">
        <v>34</v>
      </c>
      <c r="B51" s="13" t="str">
        <f aca="false">IF($B$8&gt;=34,E50,"")</f>
        <v/>
      </c>
      <c r="C51" s="13" t="str">
        <f aca="false">IF($B$8&gt;=34,$B$6*12,"")</f>
        <v/>
      </c>
      <c r="D51" s="13" t="str">
        <f aca="false">IF($B$8&gt;=34,E51-B51-C51,"")</f>
        <v/>
      </c>
      <c r="E51" s="13" t="str">
        <f aca="false">IF($B$8&gt;=34,IF($B$9=0,B51+$B$6*12,B51*(1+$B$9)^12+$B$6*(((1+$B$9)^12-1)/$B$9)),"")</f>
        <v/>
      </c>
      <c r="F51" s="13" t="str">
        <f aca="false">IF($B$8&gt;=34,$B$5+$B$6*12*A51,"")</f>
        <v/>
      </c>
    </row>
    <row r="52" customFormat="false" ht="15" hidden="false" customHeight="false" outlineLevel="0" collapsed="false">
      <c r="A52" s="12" t="n">
        <v>35</v>
      </c>
      <c r="B52" s="13" t="str">
        <f aca="false">IF($B$8&gt;=35,E51,"")</f>
        <v/>
      </c>
      <c r="C52" s="13" t="str">
        <f aca="false">IF($B$8&gt;=35,$B$6*12,"")</f>
        <v/>
      </c>
      <c r="D52" s="13" t="str">
        <f aca="false">IF($B$8&gt;=35,E52-B52-C52,"")</f>
        <v/>
      </c>
      <c r="E52" s="13" t="str">
        <f aca="false">IF($B$8&gt;=35,IF($B$9=0,B52+$B$6*12,B52*(1+$B$9)^12+$B$6*(((1+$B$9)^12-1)/$B$9)),"")</f>
        <v/>
      </c>
      <c r="F52" s="13" t="str">
        <f aca="false">IF($B$8&gt;=35,$B$5+$B$6*12*A52,"")</f>
        <v/>
      </c>
    </row>
    <row r="53" customFormat="false" ht="15" hidden="false" customHeight="false" outlineLevel="0" collapsed="false">
      <c r="A53" s="12" t="n">
        <v>36</v>
      </c>
      <c r="B53" s="13" t="str">
        <f aca="false">IF($B$8&gt;=36,E52,"")</f>
        <v/>
      </c>
      <c r="C53" s="13" t="str">
        <f aca="false">IF($B$8&gt;=36,$B$6*12,"")</f>
        <v/>
      </c>
      <c r="D53" s="13" t="str">
        <f aca="false">IF($B$8&gt;=36,E53-B53-C53,"")</f>
        <v/>
      </c>
      <c r="E53" s="13" t="str">
        <f aca="false">IF($B$8&gt;=36,IF($B$9=0,B53+$B$6*12,B53*(1+$B$9)^12+$B$6*(((1+$B$9)^12-1)/$B$9)),"")</f>
        <v/>
      </c>
      <c r="F53" s="13" t="str">
        <f aca="false">IF($B$8&gt;=36,$B$5+$B$6*12*A53,"")</f>
        <v/>
      </c>
    </row>
    <row r="54" customFormat="false" ht="15" hidden="false" customHeight="false" outlineLevel="0" collapsed="false">
      <c r="A54" s="12" t="n">
        <v>37</v>
      </c>
      <c r="B54" s="13" t="str">
        <f aca="false">IF($B$8&gt;=37,E53,"")</f>
        <v/>
      </c>
      <c r="C54" s="13" t="str">
        <f aca="false">IF($B$8&gt;=37,$B$6*12,"")</f>
        <v/>
      </c>
      <c r="D54" s="13" t="str">
        <f aca="false">IF($B$8&gt;=37,E54-B54-C54,"")</f>
        <v/>
      </c>
      <c r="E54" s="13" t="str">
        <f aca="false">IF($B$8&gt;=37,IF($B$9=0,B54+$B$6*12,B54*(1+$B$9)^12+$B$6*(((1+$B$9)^12-1)/$B$9)),"")</f>
        <v/>
      </c>
      <c r="F54" s="13" t="str">
        <f aca="false">IF($B$8&gt;=37,$B$5+$B$6*12*A54,"")</f>
        <v/>
      </c>
    </row>
    <row r="55" customFormat="false" ht="15" hidden="false" customHeight="false" outlineLevel="0" collapsed="false">
      <c r="A55" s="12" t="n">
        <v>38</v>
      </c>
      <c r="B55" s="13" t="str">
        <f aca="false">IF($B$8&gt;=38,E54,"")</f>
        <v/>
      </c>
      <c r="C55" s="13" t="str">
        <f aca="false">IF($B$8&gt;=38,$B$6*12,"")</f>
        <v/>
      </c>
      <c r="D55" s="13" t="str">
        <f aca="false">IF($B$8&gt;=38,E55-B55-C55,"")</f>
        <v/>
      </c>
      <c r="E55" s="13" t="str">
        <f aca="false">IF($B$8&gt;=38,IF($B$9=0,B55+$B$6*12,B55*(1+$B$9)^12+$B$6*(((1+$B$9)^12-1)/$B$9)),"")</f>
        <v/>
      </c>
      <c r="F55" s="13" t="str">
        <f aca="false">IF($B$8&gt;=38,$B$5+$B$6*12*A55,"")</f>
        <v/>
      </c>
    </row>
    <row r="56" customFormat="false" ht="15" hidden="false" customHeight="false" outlineLevel="0" collapsed="false">
      <c r="A56" s="12" t="n">
        <v>39</v>
      </c>
      <c r="B56" s="13" t="str">
        <f aca="false">IF($B$8&gt;=39,E55,"")</f>
        <v/>
      </c>
      <c r="C56" s="13" t="str">
        <f aca="false">IF($B$8&gt;=39,$B$6*12,"")</f>
        <v/>
      </c>
      <c r="D56" s="13" t="str">
        <f aca="false">IF($B$8&gt;=39,E56-B56-C56,"")</f>
        <v/>
      </c>
      <c r="E56" s="13" t="str">
        <f aca="false">IF($B$8&gt;=39,IF($B$9=0,B56+$B$6*12,B56*(1+$B$9)^12+$B$6*(((1+$B$9)^12-1)/$B$9)),"")</f>
        <v/>
      </c>
      <c r="F56" s="13" t="str">
        <f aca="false">IF($B$8&gt;=39,$B$5+$B$6*12*A56,"")</f>
        <v/>
      </c>
    </row>
    <row r="57" customFormat="false" ht="15" hidden="false" customHeight="false" outlineLevel="0" collapsed="false">
      <c r="A57" s="12" t="n">
        <v>40</v>
      </c>
      <c r="B57" s="13" t="str">
        <f aca="false">IF($B$8&gt;=40,E56,"")</f>
        <v/>
      </c>
      <c r="C57" s="13" t="str">
        <f aca="false">IF($B$8&gt;=40,$B$6*12,"")</f>
        <v/>
      </c>
      <c r="D57" s="13" t="str">
        <f aca="false">IF($B$8&gt;=40,E57-B57-C57,"")</f>
        <v/>
      </c>
      <c r="E57" s="13" t="str">
        <f aca="false">IF($B$8&gt;=40,IF($B$9=0,B57+$B$6*12,B57*(1+$B$9)^12+$B$6*(((1+$B$9)^12-1)/$B$9)),"")</f>
        <v/>
      </c>
      <c r="F57" s="13" t="str">
        <f aca="false">IF($B$8&gt;=40,$B$5+$B$6*12*A57,"")</f>
        <v/>
      </c>
    </row>
  </sheetData>
  <mergeCells count="4">
    <mergeCell ref="A1:F1"/>
    <mergeCell ref="A3:F3"/>
    <mergeCell ref="A11:F11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7" min="4" style="0" width="13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2"/>
  </cols>
  <sheetData>
    <row r="1" customFormat="false" ht="27.75" hidden="false" customHeight="true" outlineLevel="0" collapsed="false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14" t="s">
        <v>21</v>
      </c>
      <c r="B2" s="14"/>
      <c r="C2" s="14"/>
      <c r="D2" s="14"/>
      <c r="E2" s="14"/>
      <c r="F2" s="14"/>
      <c r="G2" s="14"/>
      <c r="H2" s="14"/>
      <c r="I2" s="14"/>
      <c r="J2" s="14"/>
    </row>
    <row r="4" customFormat="false" ht="23.85" hidden="false" customHeight="false" outlineLevel="0" collapsed="false">
      <c r="A4" s="11" t="s">
        <v>22</v>
      </c>
      <c r="B4" s="11" t="s">
        <v>23</v>
      </c>
      <c r="C4" s="11" t="s">
        <v>24</v>
      </c>
      <c r="D4" s="11" t="s">
        <v>25</v>
      </c>
      <c r="E4" s="11" t="s">
        <v>26</v>
      </c>
      <c r="F4" s="11" t="s">
        <v>27</v>
      </c>
      <c r="G4" s="11" t="s">
        <v>28</v>
      </c>
      <c r="H4" s="11" t="s">
        <v>29</v>
      </c>
      <c r="I4" s="11" t="s">
        <v>30</v>
      </c>
      <c r="J4" s="11" t="s">
        <v>31</v>
      </c>
    </row>
    <row r="5" customFormat="false" ht="15" hidden="false" customHeight="false" outlineLevel="0" collapsed="false">
      <c r="A5" s="15" t="s">
        <v>32</v>
      </c>
      <c r="B5" s="15" t="s">
        <v>33</v>
      </c>
      <c r="C5" s="16" t="n">
        <v>10</v>
      </c>
      <c r="D5" s="16" t="n">
        <v>150</v>
      </c>
      <c r="E5" s="16" t="n">
        <v>175</v>
      </c>
      <c r="F5" s="13" t="n">
        <f aca="false">IF($C5="","",$C5*$D5)</f>
        <v>1500</v>
      </c>
      <c r="G5" s="13" t="n">
        <f aca="false">IF($C5="","",$C5*$E5)</f>
        <v>1750</v>
      </c>
      <c r="H5" s="13" t="n">
        <f aca="false">IF($C5="","",G5-F5)</f>
        <v>250</v>
      </c>
      <c r="I5" s="17" t="n">
        <f aca="false">IF(OR($C5="",F5=0),"",H5/F5)</f>
        <v>0.166666666666667</v>
      </c>
      <c r="J5" s="17" t="n">
        <f aca="false">IF($C5="","",G5/$G$25)</f>
        <v>0.194013303769401</v>
      </c>
    </row>
    <row r="6" customFormat="false" ht="15" hidden="false" customHeight="false" outlineLevel="0" collapsed="false">
      <c r="A6" s="15" t="s">
        <v>34</v>
      </c>
      <c r="B6" s="15" t="s">
        <v>35</v>
      </c>
      <c r="C6" s="16" t="n">
        <v>5</v>
      </c>
      <c r="D6" s="16" t="n">
        <v>400</v>
      </c>
      <c r="E6" s="16" t="n">
        <v>430</v>
      </c>
      <c r="F6" s="13" t="n">
        <f aca="false">IF($C6="","",$C6*$D6)</f>
        <v>2000</v>
      </c>
      <c r="G6" s="13" t="n">
        <f aca="false">IF($C6="","",$C6*$E6)</f>
        <v>2150</v>
      </c>
      <c r="H6" s="13" t="n">
        <f aca="false">IF($C6="","",G6-F6)</f>
        <v>150</v>
      </c>
      <c r="I6" s="17" t="n">
        <f aca="false">IF(OR($C6="",F6=0),"",H6/F6)</f>
        <v>0.075</v>
      </c>
      <c r="J6" s="17" t="n">
        <f aca="false">IF($C6="","",G6/$G$25)</f>
        <v>0.238359201773836</v>
      </c>
    </row>
    <row r="7" customFormat="false" ht="15" hidden="false" customHeight="false" outlineLevel="0" collapsed="false">
      <c r="A7" s="15" t="s">
        <v>36</v>
      </c>
      <c r="B7" s="15" t="s">
        <v>37</v>
      </c>
      <c r="C7" s="16" t="n">
        <v>0.05</v>
      </c>
      <c r="D7" s="16" t="n">
        <v>50000</v>
      </c>
      <c r="E7" s="16" t="n">
        <v>62000</v>
      </c>
      <c r="F7" s="13" t="n">
        <f aca="false">IF($C7="","",$C7*$D7)</f>
        <v>2500</v>
      </c>
      <c r="G7" s="13" t="n">
        <f aca="false">IF($C7="","",$C7*$E7)</f>
        <v>3100</v>
      </c>
      <c r="H7" s="13" t="n">
        <f aca="false">IF($C7="","",G7-F7)</f>
        <v>600</v>
      </c>
      <c r="I7" s="17" t="n">
        <f aca="false">IF(OR($C7="",F7=0),"",H7/F7)</f>
        <v>0.24</v>
      </c>
      <c r="J7" s="17" t="n">
        <f aca="false">IF($C7="","",G7/$G$25)</f>
        <v>0.343680709534368</v>
      </c>
    </row>
    <row r="8" customFormat="false" ht="15" hidden="false" customHeight="false" outlineLevel="0" collapsed="false">
      <c r="A8" s="15" t="s">
        <v>38</v>
      </c>
      <c r="B8" s="15" t="s">
        <v>39</v>
      </c>
      <c r="C8" s="16" t="n">
        <v>20</v>
      </c>
      <c r="D8" s="16" t="n">
        <v>100</v>
      </c>
      <c r="E8" s="16" t="n">
        <v>101</v>
      </c>
      <c r="F8" s="13" t="n">
        <f aca="false">IF($C8="","",$C8*$D8)</f>
        <v>2000</v>
      </c>
      <c r="G8" s="13" t="n">
        <f aca="false">IF($C8="","",$C8*$E8)</f>
        <v>2020</v>
      </c>
      <c r="H8" s="13" t="n">
        <f aca="false">IF($C8="","",G8-F8)</f>
        <v>20</v>
      </c>
      <c r="I8" s="17" t="n">
        <f aca="false">IF(OR($C8="",F8=0),"",H8/F8)</f>
        <v>0.01</v>
      </c>
      <c r="J8" s="17" t="n">
        <f aca="false">IF($C8="","",G8/$G$25)</f>
        <v>0.223946784922395</v>
      </c>
    </row>
    <row r="9" customFormat="false" ht="15" hidden="false" customHeight="false" outlineLevel="0" collapsed="false">
      <c r="A9" s="15"/>
      <c r="B9" s="15"/>
      <c r="C9" s="16"/>
      <c r="D9" s="16"/>
      <c r="E9" s="16"/>
      <c r="F9" s="13" t="str">
        <f aca="false">IF($C9="","",$C9*$D9)</f>
        <v/>
      </c>
      <c r="G9" s="13" t="str">
        <f aca="false">IF($C9="","",$C9*$E9)</f>
        <v/>
      </c>
      <c r="H9" s="13" t="str">
        <f aca="false">IF($C9="","",G9-F9)</f>
        <v/>
      </c>
      <c r="I9" s="17" t="str">
        <f aca="false">IF(OR($C9="",F9=0),"",H9/F9)</f>
        <v/>
      </c>
      <c r="J9" s="17" t="str">
        <f aca="false">IF($C9="","",G9/$G$25)</f>
        <v/>
      </c>
    </row>
    <row r="10" customFormat="false" ht="15" hidden="false" customHeight="false" outlineLevel="0" collapsed="false">
      <c r="A10" s="15"/>
      <c r="B10" s="15"/>
      <c r="C10" s="16"/>
      <c r="D10" s="16"/>
      <c r="E10" s="16"/>
      <c r="F10" s="13" t="str">
        <f aca="false">IF($C10="","",$C10*$D10)</f>
        <v/>
      </c>
      <c r="G10" s="13" t="str">
        <f aca="false">IF($C10="","",$C10*$E10)</f>
        <v/>
      </c>
      <c r="H10" s="13" t="str">
        <f aca="false">IF($C10="","",G10-F10)</f>
        <v/>
      </c>
      <c r="I10" s="17" t="str">
        <f aca="false">IF(OR($C10="",F10=0),"",H10/F10)</f>
        <v/>
      </c>
      <c r="J10" s="17" t="str">
        <f aca="false">IF($C10="","",G10/$G$25)</f>
        <v/>
      </c>
    </row>
    <row r="11" customFormat="false" ht="15" hidden="false" customHeight="false" outlineLevel="0" collapsed="false">
      <c r="A11" s="15"/>
      <c r="B11" s="15"/>
      <c r="C11" s="16"/>
      <c r="D11" s="16"/>
      <c r="E11" s="16"/>
      <c r="F11" s="13" t="str">
        <f aca="false">IF($C11="","",$C11*$D11)</f>
        <v/>
      </c>
      <c r="G11" s="13" t="str">
        <f aca="false">IF($C11="","",$C11*$E11)</f>
        <v/>
      </c>
      <c r="H11" s="13" t="str">
        <f aca="false">IF($C11="","",G11-F11)</f>
        <v/>
      </c>
      <c r="I11" s="17" t="str">
        <f aca="false">IF(OR($C11="",F11=0),"",H11/F11)</f>
        <v/>
      </c>
      <c r="J11" s="17" t="str">
        <f aca="false">IF($C11="","",G11/$G$25)</f>
        <v/>
      </c>
    </row>
    <row r="12" customFormat="false" ht="15" hidden="false" customHeight="false" outlineLevel="0" collapsed="false">
      <c r="A12" s="15"/>
      <c r="B12" s="15"/>
      <c r="C12" s="16"/>
      <c r="D12" s="16"/>
      <c r="E12" s="16"/>
      <c r="F12" s="13" t="str">
        <f aca="false">IF($C12="","",$C12*$D12)</f>
        <v/>
      </c>
      <c r="G12" s="13" t="str">
        <f aca="false">IF($C12="","",$C12*$E12)</f>
        <v/>
      </c>
      <c r="H12" s="13" t="str">
        <f aca="false">IF($C12="","",G12-F12)</f>
        <v/>
      </c>
      <c r="I12" s="17" t="str">
        <f aca="false">IF(OR($C12="",F12=0),"",H12/F12)</f>
        <v/>
      </c>
      <c r="J12" s="17" t="str">
        <f aca="false">IF($C12="","",G12/$G$25)</f>
        <v/>
      </c>
    </row>
    <row r="13" customFormat="false" ht="15" hidden="false" customHeight="false" outlineLevel="0" collapsed="false">
      <c r="A13" s="15"/>
      <c r="B13" s="15"/>
      <c r="C13" s="16"/>
      <c r="D13" s="16"/>
      <c r="E13" s="16"/>
      <c r="F13" s="13" t="str">
        <f aca="false">IF($C13="","",$C13*$D13)</f>
        <v/>
      </c>
      <c r="G13" s="13" t="str">
        <f aca="false">IF($C13="","",$C13*$E13)</f>
        <v/>
      </c>
      <c r="H13" s="13" t="str">
        <f aca="false">IF($C13="","",G13-F13)</f>
        <v/>
      </c>
      <c r="I13" s="17" t="str">
        <f aca="false">IF(OR($C13="",F13=0),"",H13/F13)</f>
        <v/>
      </c>
      <c r="J13" s="17" t="str">
        <f aca="false">IF($C13="","",G13/$G$25)</f>
        <v/>
      </c>
    </row>
    <row r="14" customFormat="false" ht="15" hidden="false" customHeight="false" outlineLevel="0" collapsed="false">
      <c r="A14" s="15"/>
      <c r="B14" s="15"/>
      <c r="C14" s="16"/>
      <c r="D14" s="16"/>
      <c r="E14" s="16"/>
      <c r="F14" s="13" t="str">
        <f aca="false">IF($C14="","",$C14*$D14)</f>
        <v/>
      </c>
      <c r="G14" s="13" t="str">
        <f aca="false">IF($C14="","",$C14*$E14)</f>
        <v/>
      </c>
      <c r="H14" s="13" t="str">
        <f aca="false">IF($C14="","",G14-F14)</f>
        <v/>
      </c>
      <c r="I14" s="17" t="str">
        <f aca="false">IF(OR($C14="",F14=0),"",H14/F14)</f>
        <v/>
      </c>
      <c r="J14" s="17" t="str">
        <f aca="false">IF($C14="","",G14/$G$25)</f>
        <v/>
      </c>
    </row>
    <row r="15" customFormat="false" ht="15" hidden="false" customHeight="false" outlineLevel="0" collapsed="false">
      <c r="A15" s="15"/>
      <c r="B15" s="15"/>
      <c r="C15" s="16"/>
      <c r="D15" s="16"/>
      <c r="E15" s="16"/>
      <c r="F15" s="13" t="str">
        <f aca="false">IF($C15="","",$C15*$D15)</f>
        <v/>
      </c>
      <c r="G15" s="13" t="str">
        <f aca="false">IF($C15="","",$C15*$E15)</f>
        <v/>
      </c>
      <c r="H15" s="13" t="str">
        <f aca="false">IF($C15="","",G15-F15)</f>
        <v/>
      </c>
      <c r="I15" s="17" t="str">
        <f aca="false">IF(OR($C15="",F15=0),"",H15/F15)</f>
        <v/>
      </c>
      <c r="J15" s="17" t="str">
        <f aca="false">IF($C15="","",G15/$G$25)</f>
        <v/>
      </c>
    </row>
    <row r="16" customFormat="false" ht="15" hidden="false" customHeight="false" outlineLevel="0" collapsed="false">
      <c r="A16" s="15"/>
      <c r="B16" s="15"/>
      <c r="C16" s="16"/>
      <c r="D16" s="16"/>
      <c r="E16" s="16"/>
      <c r="F16" s="13" t="str">
        <f aca="false">IF($C16="","",$C16*$D16)</f>
        <v/>
      </c>
      <c r="G16" s="13" t="str">
        <f aca="false">IF($C16="","",$C16*$E16)</f>
        <v/>
      </c>
      <c r="H16" s="13" t="str">
        <f aca="false">IF($C16="","",G16-F16)</f>
        <v/>
      </c>
      <c r="I16" s="17" t="str">
        <f aca="false">IF(OR($C16="",F16=0),"",H16/F16)</f>
        <v/>
      </c>
      <c r="J16" s="17" t="str">
        <f aca="false">IF($C16="","",G16/$G$25)</f>
        <v/>
      </c>
    </row>
    <row r="17" customFormat="false" ht="15" hidden="false" customHeight="false" outlineLevel="0" collapsed="false">
      <c r="A17" s="15"/>
      <c r="B17" s="15"/>
      <c r="C17" s="16"/>
      <c r="D17" s="16"/>
      <c r="E17" s="16"/>
      <c r="F17" s="13" t="str">
        <f aca="false">IF($C17="","",$C17*$D17)</f>
        <v/>
      </c>
      <c r="G17" s="13" t="str">
        <f aca="false">IF($C17="","",$C17*$E17)</f>
        <v/>
      </c>
      <c r="H17" s="13" t="str">
        <f aca="false">IF($C17="","",G17-F17)</f>
        <v/>
      </c>
      <c r="I17" s="17" t="str">
        <f aca="false">IF(OR($C17="",F17=0),"",H17/F17)</f>
        <v/>
      </c>
      <c r="J17" s="17" t="str">
        <f aca="false">IF($C17="","",G17/$G$25)</f>
        <v/>
      </c>
    </row>
    <row r="18" customFormat="false" ht="15" hidden="false" customHeight="false" outlineLevel="0" collapsed="false">
      <c r="A18" s="15"/>
      <c r="B18" s="15"/>
      <c r="C18" s="16"/>
      <c r="D18" s="16"/>
      <c r="E18" s="16"/>
      <c r="F18" s="13" t="str">
        <f aca="false">IF($C18="","",$C18*$D18)</f>
        <v/>
      </c>
      <c r="G18" s="13" t="str">
        <f aca="false">IF($C18="","",$C18*$E18)</f>
        <v/>
      </c>
      <c r="H18" s="13" t="str">
        <f aca="false">IF($C18="","",G18-F18)</f>
        <v/>
      </c>
      <c r="I18" s="17" t="str">
        <f aca="false">IF(OR($C18="",F18=0),"",H18/F18)</f>
        <v/>
      </c>
      <c r="J18" s="17" t="str">
        <f aca="false">IF($C18="","",G18/$G$25)</f>
        <v/>
      </c>
    </row>
    <row r="19" customFormat="false" ht="15" hidden="false" customHeight="false" outlineLevel="0" collapsed="false">
      <c r="A19" s="15"/>
      <c r="B19" s="15"/>
      <c r="C19" s="16"/>
      <c r="D19" s="16"/>
      <c r="E19" s="16"/>
      <c r="F19" s="13" t="str">
        <f aca="false">IF($C19="","",$C19*$D19)</f>
        <v/>
      </c>
      <c r="G19" s="13" t="str">
        <f aca="false">IF($C19="","",$C19*$E19)</f>
        <v/>
      </c>
      <c r="H19" s="13" t="str">
        <f aca="false">IF($C19="","",G19-F19)</f>
        <v/>
      </c>
      <c r="I19" s="17" t="str">
        <f aca="false">IF(OR($C19="",F19=0),"",H19/F19)</f>
        <v/>
      </c>
      <c r="J19" s="17" t="str">
        <f aca="false">IF($C19="","",G19/$G$25)</f>
        <v/>
      </c>
    </row>
    <row r="20" customFormat="false" ht="15" hidden="false" customHeight="false" outlineLevel="0" collapsed="false">
      <c r="A20" s="15"/>
      <c r="B20" s="15"/>
      <c r="C20" s="16"/>
      <c r="D20" s="16"/>
      <c r="E20" s="16"/>
      <c r="F20" s="13" t="str">
        <f aca="false">IF($C20="","",$C20*$D20)</f>
        <v/>
      </c>
      <c r="G20" s="13" t="str">
        <f aca="false">IF($C20="","",$C20*$E20)</f>
        <v/>
      </c>
      <c r="H20" s="13" t="str">
        <f aca="false">IF($C20="","",G20-F20)</f>
        <v/>
      </c>
      <c r="I20" s="17" t="str">
        <f aca="false">IF(OR($C20="",F20=0),"",H20/F20)</f>
        <v/>
      </c>
      <c r="J20" s="17" t="str">
        <f aca="false">IF($C20="","",G20/$G$25)</f>
        <v/>
      </c>
    </row>
    <row r="21" customFormat="false" ht="15" hidden="false" customHeight="false" outlineLevel="0" collapsed="false">
      <c r="A21" s="15"/>
      <c r="B21" s="15"/>
      <c r="C21" s="16"/>
      <c r="D21" s="16"/>
      <c r="E21" s="16"/>
      <c r="F21" s="13" t="str">
        <f aca="false">IF($C21="","",$C21*$D21)</f>
        <v/>
      </c>
      <c r="G21" s="13" t="str">
        <f aca="false">IF($C21="","",$C21*$E21)</f>
        <v/>
      </c>
      <c r="H21" s="13" t="str">
        <f aca="false">IF($C21="","",G21-F21)</f>
        <v/>
      </c>
      <c r="I21" s="17" t="str">
        <f aca="false">IF(OR($C21="",F21=0),"",H21/F21)</f>
        <v/>
      </c>
      <c r="J21" s="17" t="str">
        <f aca="false">IF($C21="","",G21/$G$25)</f>
        <v/>
      </c>
    </row>
    <row r="22" customFormat="false" ht="15" hidden="false" customHeight="false" outlineLevel="0" collapsed="false">
      <c r="A22" s="15"/>
      <c r="B22" s="15"/>
      <c r="C22" s="16"/>
      <c r="D22" s="16"/>
      <c r="E22" s="16"/>
      <c r="F22" s="13" t="str">
        <f aca="false">IF($C22="","",$C22*$D22)</f>
        <v/>
      </c>
      <c r="G22" s="13" t="str">
        <f aca="false">IF($C22="","",$C22*$E22)</f>
        <v/>
      </c>
      <c r="H22" s="13" t="str">
        <f aca="false">IF($C22="","",G22-F22)</f>
        <v/>
      </c>
      <c r="I22" s="17" t="str">
        <f aca="false">IF(OR($C22="",F22=0),"",H22/F22)</f>
        <v/>
      </c>
      <c r="J22" s="17" t="str">
        <f aca="false">IF($C22="","",G22/$G$25)</f>
        <v/>
      </c>
    </row>
    <row r="23" customFormat="false" ht="15" hidden="false" customHeight="false" outlineLevel="0" collapsed="false">
      <c r="A23" s="15"/>
      <c r="B23" s="15"/>
      <c r="C23" s="16"/>
      <c r="D23" s="16"/>
      <c r="E23" s="16"/>
      <c r="F23" s="13" t="str">
        <f aca="false">IF($C23="","",$C23*$D23)</f>
        <v/>
      </c>
      <c r="G23" s="13" t="str">
        <f aca="false">IF($C23="","",$C23*$E23)</f>
        <v/>
      </c>
      <c r="H23" s="13" t="str">
        <f aca="false">IF($C23="","",G23-F23)</f>
        <v/>
      </c>
      <c r="I23" s="17" t="str">
        <f aca="false">IF(OR($C23="",F23=0),"",H23/F23)</f>
        <v/>
      </c>
      <c r="J23" s="17" t="str">
        <f aca="false">IF($C23="","",G23/$G$25)</f>
        <v/>
      </c>
    </row>
    <row r="24" customFormat="false" ht="15" hidden="false" customHeight="false" outlineLevel="0" collapsed="false">
      <c r="A24" s="15"/>
      <c r="B24" s="15"/>
      <c r="C24" s="16"/>
      <c r="D24" s="16"/>
      <c r="E24" s="16"/>
      <c r="F24" s="13" t="str">
        <f aca="false">IF($C24="","",$C24*$D24)</f>
        <v/>
      </c>
      <c r="G24" s="13" t="str">
        <f aca="false">IF($C24="","",$C24*$E24)</f>
        <v/>
      </c>
      <c r="H24" s="13" t="str">
        <f aca="false">IF($C24="","",G24-F24)</f>
        <v/>
      </c>
      <c r="I24" s="17" t="str">
        <f aca="false">IF(OR($C24="",F24=0),"",H24/F24)</f>
        <v/>
      </c>
      <c r="J24" s="17" t="str">
        <f aca="false">IF($C24="","",G24/$G$25)</f>
        <v/>
      </c>
    </row>
    <row r="25" customFormat="false" ht="15" hidden="false" customHeight="false" outlineLevel="0" collapsed="false">
      <c r="A25" s="18" t="s">
        <v>40</v>
      </c>
      <c r="B25" s="19"/>
      <c r="C25" s="19"/>
      <c r="D25" s="19"/>
      <c r="E25" s="19"/>
      <c r="F25" s="20" t="n">
        <f aca="false">SUM(F5:F24)</f>
        <v>8000</v>
      </c>
      <c r="G25" s="20" t="n">
        <f aca="false">SUM(G5:G24)</f>
        <v>9020</v>
      </c>
      <c r="H25" s="20" t="n">
        <f aca="false">SUM(H5:H24)</f>
        <v>1020</v>
      </c>
      <c r="I25" s="21" t="n">
        <f aca="false">IF(F25=0,"",H25/F25)</f>
        <v>0.1275</v>
      </c>
      <c r="J25" s="21" t="n">
        <f aca="false">IF(G25=0,"",G25/G25)</f>
        <v>1</v>
      </c>
    </row>
    <row r="28" customFormat="false" ht="15" hidden="false" customHeight="false" outlineLevel="0" collapsed="false">
      <c r="A28" s="2" t="s">
        <v>41</v>
      </c>
      <c r="B28" s="2"/>
      <c r="C28" s="2"/>
    </row>
    <row r="29" customFormat="false" ht="23.85" hidden="false" customHeight="false" outlineLevel="0" collapsed="false">
      <c r="A29" s="11" t="s">
        <v>23</v>
      </c>
      <c r="B29" s="11" t="s">
        <v>28</v>
      </c>
      <c r="C29" s="11" t="s">
        <v>31</v>
      </c>
    </row>
    <row r="30" customFormat="false" ht="15" hidden="false" customHeight="false" outlineLevel="0" collapsed="false">
      <c r="A30" s="22" t="s">
        <v>33</v>
      </c>
      <c r="B30" s="13" t="n">
        <f aca="false">SUMIF($B$5:$B$24,A30,$G$5:$G$24)</f>
        <v>1750</v>
      </c>
      <c r="C30" s="17" t="n">
        <f aca="false">IF($G$25=0,"",B30/$G$25)</f>
        <v>0.194013303769401</v>
      </c>
    </row>
    <row r="31" customFormat="false" ht="15" hidden="false" customHeight="false" outlineLevel="0" collapsed="false">
      <c r="A31" s="22" t="s">
        <v>35</v>
      </c>
      <c r="B31" s="13" t="n">
        <f aca="false">SUMIF($B$5:$B$24,A31,$G$5:$G$24)</f>
        <v>2150</v>
      </c>
      <c r="C31" s="17" t="n">
        <f aca="false">IF($G$25=0,"",B31/$G$25)</f>
        <v>0.238359201773836</v>
      </c>
    </row>
    <row r="32" customFormat="false" ht="15" hidden="false" customHeight="false" outlineLevel="0" collapsed="false">
      <c r="A32" s="22" t="s">
        <v>37</v>
      </c>
      <c r="B32" s="13" t="n">
        <f aca="false">SUMIF($B$5:$B$24,A32,$G$5:$G$24)</f>
        <v>3100</v>
      </c>
      <c r="C32" s="17" t="n">
        <f aca="false">IF($G$25=0,"",B32/$G$25)</f>
        <v>0.343680709534368</v>
      </c>
    </row>
    <row r="33" customFormat="false" ht="15" hidden="false" customHeight="false" outlineLevel="0" collapsed="false">
      <c r="A33" s="22" t="s">
        <v>39</v>
      </c>
      <c r="B33" s="13" t="n">
        <f aca="false">SUMIF($B$5:$B$24,A33,$G$5:$G$24)</f>
        <v>2020</v>
      </c>
      <c r="C33" s="17" t="n">
        <f aca="false">IF($G$25=0,"",B33/$G$25)</f>
        <v>0.223946784922395</v>
      </c>
    </row>
    <row r="34" customFormat="false" ht="15" hidden="false" customHeight="false" outlineLevel="0" collapsed="false">
      <c r="A34" s="22" t="s">
        <v>42</v>
      </c>
      <c r="B34" s="13" t="n">
        <f aca="false">SUMIF($B$5:$B$24,A34,$G$5:$G$24)</f>
        <v>0</v>
      </c>
      <c r="C34" s="17" t="n">
        <f aca="false">IF($G$25=0,"",B34/$G$25)</f>
        <v>0</v>
      </c>
    </row>
    <row r="35" customFormat="false" ht="15" hidden="false" customHeight="false" outlineLevel="0" collapsed="false">
      <c r="A35" s="22" t="s">
        <v>43</v>
      </c>
      <c r="B35" s="13" t="n">
        <f aca="false">SUMIF($B$5:$B$24,A35,$G$5:$G$24)</f>
        <v>0</v>
      </c>
      <c r="C35" s="17" t="n">
        <f aca="false">IF($G$25=0,"",B35/$G$25)</f>
        <v>0</v>
      </c>
    </row>
  </sheetData>
  <mergeCells count="3">
    <mergeCell ref="A1:J1"/>
    <mergeCell ref="A2:J2"/>
    <mergeCell ref="A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27.75" hidden="false" customHeight="true" outlineLevel="0" collapsed="false">
      <c r="A1" s="1" t="s">
        <v>44</v>
      </c>
      <c r="B1" s="1"/>
      <c r="C1" s="1"/>
      <c r="D1" s="1"/>
    </row>
    <row r="2" customFormat="false" ht="42" hidden="false" customHeight="true" outlineLevel="0" collapsed="false"/>
    <row r="3" customFormat="false" ht="42" hidden="false" customHeight="true" outlineLevel="0" collapsed="false">
      <c r="A3" s="23" t="s">
        <v>45</v>
      </c>
      <c r="B3" s="24" t="s">
        <v>46</v>
      </c>
    </row>
    <row r="4" customFormat="false" ht="42" hidden="false" customHeight="true" outlineLevel="0" collapsed="false">
      <c r="A4" s="23" t="s">
        <v>47</v>
      </c>
      <c r="B4" s="24" t="s">
        <v>48</v>
      </c>
    </row>
    <row r="5" customFormat="false" ht="42" hidden="false" customHeight="true" outlineLevel="0" collapsed="false">
      <c r="A5" s="23" t="s">
        <v>2</v>
      </c>
      <c r="B5" s="24" t="s">
        <v>49</v>
      </c>
    </row>
    <row r="6" customFormat="false" ht="42" hidden="false" customHeight="true" outlineLevel="0" collapsed="false">
      <c r="A6" s="23" t="s">
        <v>50</v>
      </c>
      <c r="B6" s="24" t="s">
        <v>51</v>
      </c>
    </row>
    <row r="7" customFormat="false" ht="42" hidden="false" customHeight="true" outlineLevel="0" collapsed="false"/>
    <row r="8" customFormat="false" ht="42" hidden="false" customHeight="true" outlineLevel="0" collapsed="false">
      <c r="A8" s="23" t="s">
        <v>52</v>
      </c>
      <c r="B8" s="24" t="s">
        <v>53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2026-06-16T01:12:13Z</dcterms:created>
  <dc:creator>openpyxl</dc:creator>
  <dc:description/>
  <dc:language>en-US</dc:language>
  <cp:lastModifiedBy/>
  <dcterms:modified xsi:type="dcterms:W3CDTF">2026-06-16T01:12:13Z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